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A00D1A0-4B82-43B2-B68B-94A31333194F}"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<sst xmlns="http://schemas.openxmlformats.org/spreadsheetml/2006/main" count="16274" uniqueCount="51">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</sst>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409]#,##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layout>
        <c:manualLayout>
          <c:xMode val="edge"/>
          <c:yMode val="edge"/>
          <c:x val="0.34818125753724966"/>
          <c:y val="1.5328059193974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6028197538071"/>
          <c:y val="2.8027664838067963E-2"/>
          <c:w val="0.77002203787461088"/>
          <c:h val="0.8038617692375773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43600</c:v>
                </c:pt>
                <c:pt idx="1">
                  <c:v>43714.285714285717</c:v>
                </c:pt>
              </c:numCache>
            </c:numRef>
          </c:val>
          <c:extLst>
            <c:ext xmlns:c16="http://schemas.microsoft.com/office/drawing/2014/chart" uri="{C3380CC4-5D6E-409C-BE32-E72D297353CC}">
              <c16:uniqueId val="{00000000-0520-44E8-8337-7ABE3B40D50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46363.63636363636</c:v>
                </c:pt>
                <c:pt idx="1">
                  <c:v>49629.629629629628</c:v>
                </c:pt>
              </c:numCache>
            </c:numRef>
          </c:val>
          <c:extLst>
            <c:ext xmlns:c16="http://schemas.microsoft.com/office/drawing/2014/chart" uri="{C3380CC4-5D6E-409C-BE32-E72D297353CC}">
              <c16:uniqueId val="{00000001-E9E6-4CBF-8161-ED5FC44EBC3A}"/>
            </c:ext>
          </c:extLst>
        </c:ser>
        <c:dLbls>
          <c:showLegendKey val="0"/>
          <c:showVal val="0"/>
          <c:showCatName val="0"/>
          <c:showSerName val="0"/>
          <c:showPercent val="0"/>
          <c:showBubbleSize val="0"/>
        </c:dLbls>
        <c:gapWidth val="219"/>
        <c:overlap val="-27"/>
        <c:axId val="1059055807"/>
        <c:axId val="1059065407"/>
      </c:barChart>
      <c:catAx>
        <c:axId val="1059055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3921324842555232"/>
              <c:y val="0.766693658368185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65407"/>
        <c:crosses val="autoZero"/>
        <c:auto val="1"/>
        <c:lblAlgn val="ctr"/>
        <c:lblOffset val="100"/>
        <c:noMultiLvlLbl val="0"/>
      </c:catAx>
      <c:valAx>
        <c:axId val="1059065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58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manualLayout>
          <c:xMode val="edge"/>
          <c:yMode val="edge"/>
          <c:x val="0.33514574259530677"/>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4249781277340332"/>
          <c:w val="0.6735301837270341"/>
          <c:h val="0.65853091280256637"/>
        </c:manualLayout>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3</c:v>
                </c:pt>
                <c:pt idx="1">
                  <c:v>10</c:v>
                </c:pt>
                <c:pt idx="2">
                  <c:v>8</c:v>
                </c:pt>
                <c:pt idx="3">
                  <c:v>31</c:v>
                </c:pt>
                <c:pt idx="4">
                  <c:v>8</c:v>
                </c:pt>
              </c:numCache>
            </c:numRef>
          </c:val>
          <c:smooth val="0"/>
          <c:extLst>
            <c:ext xmlns:c16="http://schemas.microsoft.com/office/drawing/2014/chart" uri="{C3380CC4-5D6E-409C-BE32-E72D297353CC}">
              <c16:uniqueId val="{00000000-D830-4046-AC3C-594B6445A3BF}"/>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6</c:v>
                </c:pt>
                <c:pt idx="1">
                  <c:v>12</c:v>
                </c:pt>
                <c:pt idx="2">
                  <c:v>6</c:v>
                </c:pt>
                <c:pt idx="3">
                  <c:v>8</c:v>
                </c:pt>
                <c:pt idx="4">
                  <c:v>6</c:v>
                </c:pt>
              </c:numCache>
            </c:numRef>
          </c:val>
          <c:smooth val="0"/>
          <c:extLst>
            <c:ext xmlns:c16="http://schemas.microsoft.com/office/drawing/2014/chart" uri="{C3380CC4-5D6E-409C-BE32-E72D297353CC}">
              <c16:uniqueId val="{00000001-D830-4046-AC3C-594B6445A3BF}"/>
            </c:ext>
          </c:extLst>
        </c:ser>
        <c:dLbls>
          <c:showLegendKey val="0"/>
          <c:showVal val="0"/>
          <c:showCatName val="0"/>
          <c:showSerName val="0"/>
          <c:showPercent val="0"/>
          <c:showBubbleSize val="0"/>
        </c:dLbls>
        <c:smooth val="0"/>
        <c:axId val="1165675663"/>
        <c:axId val="1165676623"/>
      </c:lineChart>
      <c:catAx>
        <c:axId val="116567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76623"/>
        <c:crosses val="autoZero"/>
        <c:auto val="1"/>
        <c:lblAlgn val="ctr"/>
        <c:lblOffset val="100"/>
        <c:noMultiLvlLbl val="0"/>
      </c:catAx>
      <c:valAx>
        <c:axId val="116567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7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layout>
        <c:manualLayout>
          <c:xMode val="edge"/>
          <c:yMode val="edge"/>
          <c:x val="0.42781433016328901"/>
          <c:y val="2.63440031868260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15</c:v>
                </c:pt>
                <c:pt idx="1">
                  <c:v>34</c:v>
                </c:pt>
                <c:pt idx="2">
                  <c:v>11</c:v>
                </c:pt>
              </c:numCache>
            </c:numRef>
          </c:val>
          <c:smooth val="0"/>
          <c:extLst>
            <c:ext xmlns:c16="http://schemas.microsoft.com/office/drawing/2014/chart" uri="{C3380CC4-5D6E-409C-BE32-E72D297353CC}">
              <c16:uniqueId val="{00000000-9233-4AC5-8CCA-15E5585DD9A3}"/>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8</c:v>
                </c:pt>
                <c:pt idx="1">
                  <c:v>23</c:v>
                </c:pt>
                <c:pt idx="2">
                  <c:v>7</c:v>
                </c:pt>
              </c:numCache>
            </c:numRef>
          </c:val>
          <c:smooth val="0"/>
          <c:extLst>
            <c:ext xmlns:c16="http://schemas.microsoft.com/office/drawing/2014/chart" uri="{C3380CC4-5D6E-409C-BE32-E72D297353CC}">
              <c16:uniqueId val="{00000001-9233-4AC5-8CCA-15E5585DD9A3}"/>
            </c:ext>
          </c:extLst>
        </c:ser>
        <c:dLbls>
          <c:showLegendKey val="0"/>
          <c:showVal val="0"/>
          <c:showCatName val="0"/>
          <c:showSerName val="0"/>
          <c:showPercent val="0"/>
          <c:showBubbleSize val="0"/>
        </c:dLbls>
        <c:marker val="1"/>
        <c:smooth val="0"/>
        <c:axId val="1195513023"/>
        <c:axId val="1195519743"/>
      </c:lineChart>
      <c:catAx>
        <c:axId val="1195513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19743"/>
        <c:crosses val="autoZero"/>
        <c:auto val="1"/>
        <c:lblAlgn val="ctr"/>
        <c:lblOffset val="100"/>
        <c:noMultiLvlLbl val="0"/>
      </c:catAx>
      <c:valAx>
        <c:axId val="119551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1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table'!$A$53:$A$82</c:f>
              <c:strCache>
                <c:ptCount val="29"/>
                <c:pt idx="0">
                  <c:v>25</c:v>
                </c:pt>
                <c:pt idx="1">
                  <c:v>26</c:v>
                </c:pt>
                <c:pt idx="2">
                  <c:v>27</c:v>
                </c:pt>
                <c:pt idx="3">
                  <c:v>28</c:v>
                </c:pt>
                <c:pt idx="4">
                  <c:v>29</c:v>
                </c:pt>
                <c:pt idx="5">
                  <c:v>30</c:v>
                </c:pt>
                <c:pt idx="6">
                  <c:v>31</c:v>
                </c:pt>
                <c:pt idx="7">
                  <c:v>32</c:v>
                </c:pt>
                <c:pt idx="8">
                  <c:v>43</c:v>
                </c:pt>
                <c:pt idx="9">
                  <c:v>44</c:v>
                </c:pt>
                <c:pt idx="10">
                  <c:v>45</c:v>
                </c:pt>
                <c:pt idx="11">
                  <c:v>46</c:v>
                </c:pt>
                <c:pt idx="12">
                  <c:v>48</c:v>
                </c:pt>
                <c:pt idx="13">
                  <c:v>49</c:v>
                </c:pt>
                <c:pt idx="14">
                  <c:v>50</c:v>
                </c:pt>
                <c:pt idx="15">
                  <c:v>51</c:v>
                </c:pt>
                <c:pt idx="16">
                  <c:v>52</c:v>
                </c:pt>
                <c:pt idx="17">
                  <c:v>53</c:v>
                </c:pt>
                <c:pt idx="18">
                  <c:v>54</c:v>
                </c:pt>
                <c:pt idx="19">
                  <c:v>55</c:v>
                </c:pt>
                <c:pt idx="20">
                  <c:v>57</c:v>
                </c:pt>
                <c:pt idx="21">
                  <c:v>58</c:v>
                </c:pt>
                <c:pt idx="22">
                  <c:v>59</c:v>
                </c:pt>
                <c:pt idx="23">
                  <c:v>60</c:v>
                </c:pt>
                <c:pt idx="24">
                  <c:v>61</c:v>
                </c:pt>
                <c:pt idx="25">
                  <c:v>62</c:v>
                </c:pt>
                <c:pt idx="26">
                  <c:v>64</c:v>
                </c:pt>
                <c:pt idx="27">
                  <c:v>69</c:v>
                </c:pt>
                <c:pt idx="28">
                  <c:v>78</c:v>
                </c:pt>
              </c:strCache>
            </c:strRef>
          </c:cat>
          <c:val>
            <c:numRef>
              <c:f>'pivot table'!$B$53:$B$82</c:f>
              <c:numCache>
                <c:formatCode>General</c:formatCode>
                <c:ptCount val="29"/>
                <c:pt idx="1">
                  <c:v>3</c:v>
                </c:pt>
                <c:pt idx="2">
                  <c:v>4</c:v>
                </c:pt>
                <c:pt idx="4">
                  <c:v>1</c:v>
                </c:pt>
                <c:pt idx="5">
                  <c:v>7</c:v>
                </c:pt>
                <c:pt idx="6">
                  <c:v>6</c:v>
                </c:pt>
                <c:pt idx="7">
                  <c:v>1</c:v>
                </c:pt>
                <c:pt idx="8">
                  <c:v>1</c:v>
                </c:pt>
                <c:pt idx="10">
                  <c:v>2</c:v>
                </c:pt>
                <c:pt idx="11">
                  <c:v>1</c:v>
                </c:pt>
                <c:pt idx="12">
                  <c:v>2</c:v>
                </c:pt>
                <c:pt idx="13">
                  <c:v>5</c:v>
                </c:pt>
                <c:pt idx="14">
                  <c:v>4</c:v>
                </c:pt>
                <c:pt idx="15">
                  <c:v>5</c:v>
                </c:pt>
                <c:pt idx="16">
                  <c:v>2</c:v>
                </c:pt>
                <c:pt idx="17">
                  <c:v>5</c:v>
                </c:pt>
                <c:pt idx="19">
                  <c:v>2</c:v>
                </c:pt>
                <c:pt idx="20">
                  <c:v>1</c:v>
                </c:pt>
                <c:pt idx="22">
                  <c:v>1</c:v>
                </c:pt>
                <c:pt idx="23">
                  <c:v>2</c:v>
                </c:pt>
                <c:pt idx="24">
                  <c:v>2</c:v>
                </c:pt>
                <c:pt idx="26">
                  <c:v>1</c:v>
                </c:pt>
                <c:pt idx="27">
                  <c:v>1</c:v>
                </c:pt>
                <c:pt idx="28">
                  <c:v>1</c:v>
                </c:pt>
              </c:numCache>
            </c:numRef>
          </c:val>
          <c:smooth val="0"/>
          <c:extLst>
            <c:ext xmlns:c16="http://schemas.microsoft.com/office/drawing/2014/chart" uri="{C3380CC4-5D6E-409C-BE32-E72D297353CC}">
              <c16:uniqueId val="{00000000-C0C2-4F6D-B41E-5DE971EEB554}"/>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table'!$A$53:$A$82</c:f>
              <c:strCache>
                <c:ptCount val="29"/>
                <c:pt idx="0">
                  <c:v>25</c:v>
                </c:pt>
                <c:pt idx="1">
                  <c:v>26</c:v>
                </c:pt>
                <c:pt idx="2">
                  <c:v>27</c:v>
                </c:pt>
                <c:pt idx="3">
                  <c:v>28</c:v>
                </c:pt>
                <c:pt idx="4">
                  <c:v>29</c:v>
                </c:pt>
                <c:pt idx="5">
                  <c:v>30</c:v>
                </c:pt>
                <c:pt idx="6">
                  <c:v>31</c:v>
                </c:pt>
                <c:pt idx="7">
                  <c:v>32</c:v>
                </c:pt>
                <c:pt idx="8">
                  <c:v>43</c:v>
                </c:pt>
                <c:pt idx="9">
                  <c:v>44</c:v>
                </c:pt>
                <c:pt idx="10">
                  <c:v>45</c:v>
                </c:pt>
                <c:pt idx="11">
                  <c:v>46</c:v>
                </c:pt>
                <c:pt idx="12">
                  <c:v>48</c:v>
                </c:pt>
                <c:pt idx="13">
                  <c:v>49</c:v>
                </c:pt>
                <c:pt idx="14">
                  <c:v>50</c:v>
                </c:pt>
                <c:pt idx="15">
                  <c:v>51</c:v>
                </c:pt>
                <c:pt idx="16">
                  <c:v>52</c:v>
                </c:pt>
                <c:pt idx="17">
                  <c:v>53</c:v>
                </c:pt>
                <c:pt idx="18">
                  <c:v>54</c:v>
                </c:pt>
                <c:pt idx="19">
                  <c:v>55</c:v>
                </c:pt>
                <c:pt idx="20">
                  <c:v>57</c:v>
                </c:pt>
                <c:pt idx="21">
                  <c:v>58</c:v>
                </c:pt>
                <c:pt idx="22">
                  <c:v>59</c:v>
                </c:pt>
                <c:pt idx="23">
                  <c:v>60</c:v>
                </c:pt>
                <c:pt idx="24">
                  <c:v>61</c:v>
                </c:pt>
                <c:pt idx="25">
                  <c:v>62</c:v>
                </c:pt>
                <c:pt idx="26">
                  <c:v>64</c:v>
                </c:pt>
                <c:pt idx="27">
                  <c:v>69</c:v>
                </c:pt>
                <c:pt idx="28">
                  <c:v>78</c:v>
                </c:pt>
              </c:strCache>
            </c:strRef>
          </c:cat>
          <c:val>
            <c:numRef>
              <c:f>'pivot table'!$C$53:$C$82</c:f>
              <c:numCache>
                <c:formatCode>General</c:formatCode>
                <c:ptCount val="29"/>
                <c:pt idx="0">
                  <c:v>1</c:v>
                </c:pt>
                <c:pt idx="2">
                  <c:v>2</c:v>
                </c:pt>
                <c:pt idx="3">
                  <c:v>5</c:v>
                </c:pt>
                <c:pt idx="6">
                  <c:v>3</c:v>
                </c:pt>
                <c:pt idx="7">
                  <c:v>1</c:v>
                </c:pt>
                <c:pt idx="9">
                  <c:v>2</c:v>
                </c:pt>
                <c:pt idx="10">
                  <c:v>1</c:v>
                </c:pt>
                <c:pt idx="11">
                  <c:v>1</c:v>
                </c:pt>
                <c:pt idx="12">
                  <c:v>2</c:v>
                </c:pt>
                <c:pt idx="13">
                  <c:v>1</c:v>
                </c:pt>
                <c:pt idx="14">
                  <c:v>2</c:v>
                </c:pt>
                <c:pt idx="15">
                  <c:v>2</c:v>
                </c:pt>
                <c:pt idx="16">
                  <c:v>3</c:v>
                </c:pt>
                <c:pt idx="17">
                  <c:v>3</c:v>
                </c:pt>
                <c:pt idx="18">
                  <c:v>2</c:v>
                </c:pt>
                <c:pt idx="19">
                  <c:v>1</c:v>
                </c:pt>
                <c:pt idx="21">
                  <c:v>1</c:v>
                </c:pt>
                <c:pt idx="22">
                  <c:v>1</c:v>
                </c:pt>
                <c:pt idx="23">
                  <c:v>2</c:v>
                </c:pt>
                <c:pt idx="24">
                  <c:v>1</c:v>
                </c:pt>
                <c:pt idx="25">
                  <c:v>1</c:v>
                </c:pt>
              </c:numCache>
            </c:numRef>
          </c:val>
          <c:smooth val="0"/>
          <c:extLst>
            <c:ext xmlns:c16="http://schemas.microsoft.com/office/drawing/2014/chart" uri="{C3380CC4-5D6E-409C-BE32-E72D297353CC}">
              <c16:uniqueId val="{00000001-C0C2-4F6D-B41E-5DE971EEB554}"/>
            </c:ext>
          </c:extLst>
        </c:ser>
        <c:dLbls>
          <c:showLegendKey val="0"/>
          <c:showVal val="0"/>
          <c:showCatName val="0"/>
          <c:showSerName val="0"/>
          <c:showPercent val="0"/>
          <c:showBubbleSize val="0"/>
        </c:dLbls>
        <c:marker val="1"/>
        <c:smooth val="0"/>
        <c:axId val="1195524063"/>
        <c:axId val="1195524543"/>
      </c:lineChart>
      <c:catAx>
        <c:axId val="11955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24543"/>
        <c:crosses val="autoZero"/>
        <c:auto val="1"/>
        <c:lblAlgn val="ctr"/>
        <c:lblOffset val="100"/>
        <c:noMultiLvlLbl val="0"/>
      </c:catAx>
      <c:valAx>
        <c:axId val="119552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2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layout>
        <c:manualLayout>
          <c:xMode val="edge"/>
          <c:yMode val="edge"/>
          <c:x val="0.34818125753724966"/>
          <c:y val="1.5328059193974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24159834586277"/>
          <c:y val="4.0958603361829084E-2"/>
          <c:w val="0.77002203787461088"/>
          <c:h val="0.8038617692375773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43600</c:v>
                </c:pt>
                <c:pt idx="1">
                  <c:v>43714.285714285717</c:v>
                </c:pt>
              </c:numCache>
            </c:numRef>
          </c:val>
          <c:extLst>
            <c:ext xmlns:c16="http://schemas.microsoft.com/office/drawing/2014/chart" uri="{C3380CC4-5D6E-409C-BE32-E72D297353CC}">
              <c16:uniqueId val="{00000000-989D-491D-AF33-EED5E6BDE3A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46363.63636363636</c:v>
                </c:pt>
                <c:pt idx="1">
                  <c:v>49629.629629629628</c:v>
                </c:pt>
              </c:numCache>
            </c:numRef>
          </c:val>
          <c:extLst>
            <c:ext xmlns:c16="http://schemas.microsoft.com/office/drawing/2014/chart" uri="{C3380CC4-5D6E-409C-BE32-E72D297353CC}">
              <c16:uniqueId val="{00000002-8584-4F4F-9E03-1C36251C5D05}"/>
            </c:ext>
          </c:extLst>
        </c:ser>
        <c:dLbls>
          <c:showLegendKey val="0"/>
          <c:showVal val="0"/>
          <c:showCatName val="0"/>
          <c:showSerName val="0"/>
          <c:showPercent val="0"/>
          <c:showBubbleSize val="0"/>
        </c:dLbls>
        <c:gapWidth val="219"/>
        <c:overlap val="-27"/>
        <c:axId val="1059055807"/>
        <c:axId val="1059065407"/>
      </c:barChart>
      <c:catAx>
        <c:axId val="1059055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3921324842555232"/>
              <c:y val="0.766693658368185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65407"/>
        <c:crosses val="autoZero"/>
        <c:auto val="1"/>
        <c:lblAlgn val="ctr"/>
        <c:lblOffset val="100"/>
        <c:noMultiLvlLbl val="0"/>
      </c:catAx>
      <c:valAx>
        <c:axId val="1059065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58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69742816765639948"/>
          <c:y val="0.31654099957955639"/>
          <c:w val="0.20207480602878941"/>
          <c:h val="0.16323132279684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manualLayout>
          <c:xMode val="edge"/>
          <c:yMode val="edge"/>
          <c:x val="0.33514574259530677"/>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4249781277340332"/>
          <c:w val="0.6735301837270341"/>
          <c:h val="0.65853091280256637"/>
        </c:manualLayout>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3</c:v>
                </c:pt>
                <c:pt idx="1">
                  <c:v>10</c:v>
                </c:pt>
                <c:pt idx="2">
                  <c:v>8</c:v>
                </c:pt>
                <c:pt idx="3">
                  <c:v>31</c:v>
                </c:pt>
                <c:pt idx="4">
                  <c:v>8</c:v>
                </c:pt>
              </c:numCache>
            </c:numRef>
          </c:val>
          <c:smooth val="0"/>
          <c:extLst>
            <c:ext xmlns:c16="http://schemas.microsoft.com/office/drawing/2014/chart" uri="{C3380CC4-5D6E-409C-BE32-E72D297353CC}">
              <c16:uniqueId val="{00000000-D84D-4417-A25E-31B43C10D3C7}"/>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6</c:v>
                </c:pt>
                <c:pt idx="1">
                  <c:v>12</c:v>
                </c:pt>
                <c:pt idx="2">
                  <c:v>6</c:v>
                </c:pt>
                <c:pt idx="3">
                  <c:v>8</c:v>
                </c:pt>
                <c:pt idx="4">
                  <c:v>6</c:v>
                </c:pt>
              </c:numCache>
            </c:numRef>
          </c:val>
          <c:smooth val="0"/>
          <c:extLst>
            <c:ext xmlns:c16="http://schemas.microsoft.com/office/drawing/2014/chart" uri="{C3380CC4-5D6E-409C-BE32-E72D297353CC}">
              <c16:uniqueId val="{00000001-D84D-4417-A25E-31B43C10D3C7}"/>
            </c:ext>
          </c:extLst>
        </c:ser>
        <c:dLbls>
          <c:showLegendKey val="0"/>
          <c:showVal val="0"/>
          <c:showCatName val="0"/>
          <c:showSerName val="0"/>
          <c:showPercent val="0"/>
          <c:showBubbleSize val="0"/>
        </c:dLbls>
        <c:smooth val="0"/>
        <c:axId val="1165675663"/>
        <c:axId val="1165676623"/>
      </c:lineChart>
      <c:catAx>
        <c:axId val="116567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76623"/>
        <c:crosses val="autoZero"/>
        <c:auto val="1"/>
        <c:lblAlgn val="ctr"/>
        <c:lblOffset val="100"/>
        <c:noMultiLvlLbl val="0"/>
      </c:catAx>
      <c:valAx>
        <c:axId val="116567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75663"/>
        <c:crosses val="autoZero"/>
        <c:crossBetween val="between"/>
      </c:valAx>
      <c:spPr>
        <a:noFill/>
        <a:ln>
          <a:noFill/>
        </a:ln>
        <a:effectLst/>
      </c:spPr>
    </c:plotArea>
    <c:legend>
      <c:legendPos val="r"/>
      <c:layout>
        <c:manualLayout>
          <c:xMode val="edge"/>
          <c:yMode val="edge"/>
          <c:x val="0.65273621983883212"/>
          <c:y val="0.55472326675216255"/>
          <c:w val="0.32742013558052974"/>
          <c:h val="0.26673345664683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layout>
        <c:manualLayout>
          <c:xMode val="edge"/>
          <c:yMode val="edge"/>
          <c:x val="0.42781433016328901"/>
          <c:y val="2.63440031868260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15</c:v>
                </c:pt>
                <c:pt idx="1">
                  <c:v>34</c:v>
                </c:pt>
                <c:pt idx="2">
                  <c:v>11</c:v>
                </c:pt>
              </c:numCache>
            </c:numRef>
          </c:val>
          <c:smooth val="0"/>
          <c:extLst>
            <c:ext xmlns:c16="http://schemas.microsoft.com/office/drawing/2014/chart" uri="{C3380CC4-5D6E-409C-BE32-E72D297353CC}">
              <c16:uniqueId val="{00000000-72A9-41A6-A3B3-34A303AD5F4F}"/>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8</c:v>
                </c:pt>
                <c:pt idx="1">
                  <c:v>23</c:v>
                </c:pt>
                <c:pt idx="2">
                  <c:v>7</c:v>
                </c:pt>
              </c:numCache>
            </c:numRef>
          </c:val>
          <c:smooth val="0"/>
          <c:extLst>
            <c:ext xmlns:c16="http://schemas.microsoft.com/office/drawing/2014/chart" uri="{C3380CC4-5D6E-409C-BE32-E72D297353CC}">
              <c16:uniqueId val="{00000001-72A9-41A6-A3B3-34A303AD5F4F}"/>
            </c:ext>
          </c:extLst>
        </c:ser>
        <c:dLbls>
          <c:showLegendKey val="0"/>
          <c:showVal val="0"/>
          <c:showCatName val="0"/>
          <c:showSerName val="0"/>
          <c:showPercent val="0"/>
          <c:showBubbleSize val="0"/>
        </c:dLbls>
        <c:marker val="1"/>
        <c:smooth val="0"/>
        <c:axId val="1195513023"/>
        <c:axId val="1195519743"/>
      </c:lineChart>
      <c:catAx>
        <c:axId val="1195513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19743"/>
        <c:crosses val="autoZero"/>
        <c:auto val="1"/>
        <c:lblAlgn val="ctr"/>
        <c:lblOffset val="100"/>
        <c:noMultiLvlLbl val="0"/>
      </c:catAx>
      <c:valAx>
        <c:axId val="119551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13023"/>
        <c:crosses val="autoZero"/>
        <c:crossBetween val="between"/>
      </c:valAx>
      <c:spPr>
        <a:noFill/>
        <a:ln>
          <a:noFill/>
        </a:ln>
        <a:effectLst/>
      </c:spPr>
    </c:plotArea>
    <c:legend>
      <c:legendPos val="r"/>
      <c:layout>
        <c:manualLayout>
          <c:xMode val="edge"/>
          <c:yMode val="edge"/>
          <c:x val="0.68057756088995014"/>
          <c:y val="0.46966014461385169"/>
          <c:w val="0.17640654210766815"/>
          <c:h val="0.17179956749814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655484</xdr:colOff>
      <xdr:row>0</xdr:row>
      <xdr:rowOff>10242</xdr:rowOff>
    </xdr:from>
    <xdr:to>
      <xdr:col>12</xdr:col>
      <xdr:colOff>153630</xdr:colOff>
      <xdr:row>13</xdr:row>
      <xdr:rowOff>133145</xdr:rowOff>
    </xdr:to>
    <xdr:graphicFrame macro="">
      <xdr:nvGraphicFramePr>
        <xdr:cNvPr id="2" name="Chart 1">
          <a:extLst>
            <a:ext uri="{FF2B5EF4-FFF2-40B4-BE49-F238E27FC236}">
              <a16:creationId xmlns:a16="http://schemas.microsoft.com/office/drawing/2014/main" id="{99FEEB30-3F99-2600-230A-36BD74301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668800</xdr:colOff>
      <xdr:row>14</xdr:row>
      <xdr:rowOff>174931</xdr:rowOff>
    </xdr:from>
    <xdr:to>
      <xdr:col>12</xdr:col>
      <xdr:colOff>150557</xdr:colOff>
      <xdr:row>29</xdr:row>
      <xdr:rowOff>152809</xdr:rowOff>
    </xdr:to>
    <xdr:graphicFrame macro="">
      <xdr:nvGraphicFramePr>
        <xdr:cNvPr id="3" name="Chart 2">
          <a:extLst>
            <a:ext uri="{FF2B5EF4-FFF2-40B4-BE49-F238E27FC236}">
              <a16:creationId xmlns:a16="http://schemas.microsoft.com/office/drawing/2014/main" id="{645ADC20-D08B-B26C-3BAC-D71387D58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699523</xdr:colOff>
      <xdr:row>31</xdr:row>
      <xdr:rowOff>81936</xdr:rowOff>
    </xdr:from>
    <xdr:to>
      <xdr:col>12</xdr:col>
      <xdr:colOff>194597</xdr:colOff>
      <xdr:row>47</xdr:row>
      <xdr:rowOff>40969</xdr:rowOff>
    </xdr:to>
    <xdr:graphicFrame macro="">
      <xdr:nvGraphicFramePr>
        <xdr:cNvPr id="4" name="Chart 3">
          <a:extLst>
            <a:ext uri="{FF2B5EF4-FFF2-40B4-BE49-F238E27FC236}">
              <a16:creationId xmlns:a16="http://schemas.microsoft.com/office/drawing/2014/main" id="{20CE161C-3D11-6D5D-EABE-373661252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300087</xdr:colOff>
      <xdr:row>52</xdr:row>
      <xdr:rowOff>174113</xdr:rowOff>
    </xdr:from>
    <xdr:to>
      <xdr:col>18</xdr:col>
      <xdr:colOff>235565</xdr:colOff>
      <xdr:row>76</xdr:row>
      <xdr:rowOff>153629</xdr:rowOff>
    </xdr:to>
    <xdr:graphicFrame macro="">
      <xdr:nvGraphicFramePr>
        <xdr:cNvPr id="5" name="Chart 4">
          <a:extLst>
            <a:ext uri="{FF2B5EF4-FFF2-40B4-BE49-F238E27FC236}">
              <a16:creationId xmlns:a16="http://schemas.microsoft.com/office/drawing/2014/main" id="{0D29D829-99CD-FADE-2BC4-6355330C0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69697</xdr:colOff>
      <xdr:row>6</xdr:row>
      <xdr:rowOff>30978</xdr:rowOff>
    </xdr:from>
    <xdr:to>
      <xdr:col>9</xdr:col>
      <xdr:colOff>73270</xdr:colOff>
      <xdr:row>26</xdr:row>
      <xdr:rowOff>158750</xdr:rowOff>
    </xdr:to>
    <xdr:graphicFrame macro="">
      <xdr:nvGraphicFramePr>
        <xdr:cNvPr id="2" name="Chart 1">
          <a:extLst>
            <a:ext uri="{FF2B5EF4-FFF2-40B4-BE49-F238E27FC236}">
              <a16:creationId xmlns:a16="http://schemas.microsoft.com/office/drawing/2014/main" id="{EE0A7D9B-AC6C-40FB-B037-147174EE6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61058</xdr:colOff>
      <xdr:row>27</xdr:row>
      <xdr:rowOff>48846</xdr:rowOff>
    </xdr:from>
    <xdr:to>
      <xdr:col>18</xdr:col>
      <xdr:colOff>146538</xdr:colOff>
      <xdr:row>43</xdr:row>
      <xdr:rowOff>73268</xdr:rowOff>
    </xdr:to>
    <xdr:graphicFrame macro="">
      <xdr:nvGraphicFramePr>
        <xdr:cNvPr id="3" name="Chart 2">
          <a:extLst>
            <a:ext uri="{FF2B5EF4-FFF2-40B4-BE49-F238E27FC236}">
              <a16:creationId xmlns:a16="http://schemas.microsoft.com/office/drawing/2014/main" id="{D3754CD6-435D-4B79-9925-91EA5B4FD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41993</xdr:colOff>
      <xdr:row>6</xdr:row>
      <xdr:rowOff>90549</xdr:rowOff>
    </xdr:from>
    <xdr:to>
      <xdr:col>18</xdr:col>
      <xdr:colOff>146538</xdr:colOff>
      <xdr:row>26</xdr:row>
      <xdr:rowOff>30979</xdr:rowOff>
    </xdr:to>
    <xdr:graphicFrame macro="">
      <xdr:nvGraphicFramePr>
        <xdr:cNvPr id="4" name="Chart 3">
          <a:extLst>
            <a:ext uri="{FF2B5EF4-FFF2-40B4-BE49-F238E27FC236}">
              <a16:creationId xmlns:a16="http://schemas.microsoft.com/office/drawing/2014/main" id="{E7181DBA-890C-413D-BE85-CF4652815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178602</xdr:colOff>
      <xdr:row>6</xdr:row>
      <xdr:rowOff>108578</xdr:rowOff>
    </xdr:from>
    <xdr:to>
      <xdr:col>21</xdr:col>
      <xdr:colOff>217190</xdr:colOff>
      <xdr:row>13</xdr:row>
      <xdr:rowOff>177940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3111C18-769B-4465-5A1A-3ECF4F1A888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200388" y="1197149"/>
              <a:ext cx="1875552" cy="13393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171902</xdr:colOff>
      <xdr:row>14</xdr:row>
      <xdr:rowOff>9072</xdr:rowOff>
    </xdr:from>
    <xdr:to>
      <xdr:col>21</xdr:col>
      <xdr:colOff>215445</xdr:colOff>
      <xdr:row>23</xdr:row>
      <xdr:rowOff>56697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2A6494F-FC9B-29DC-4114-4ACD5050D16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193688" y="2549072"/>
              <a:ext cx="1880507" cy="16804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171903</xdr:colOff>
      <xdr:row>23</xdr:row>
      <xdr:rowOff>88448</xdr:rowOff>
    </xdr:from>
    <xdr:to>
      <xdr:col>21</xdr:col>
      <xdr:colOff>215447</xdr:colOff>
      <xdr:row>29</xdr:row>
      <xdr:rowOff>102054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9FE28AC-67DD-B90A-9744-F5807A87F7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93689" y="4261305"/>
              <a:ext cx="1880508" cy="11021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0.685490162039" createdVersion="8" refreshedVersion="8" minRefreshableVersion="3" recordCount="1026" xr:uid="{AE76901E-888E-4670-82E6-239F8CC448E5}">
  <cacheSource type="worksheet">
    <worksheetSource ref="A1:N1027"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279463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FC1C15-9970-4258-B739-69841FCB10E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D7"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showAll="0"/>
    <pivotField showAll="0"/>
    <pivotField showAll="0">
      <items count="7">
        <item h="1" x="0"/>
        <item h="1" x="4"/>
        <item x="2"/>
        <item h="1" x="1"/>
        <item h="1" x="3"/>
        <item h="1" x="5"/>
        <item t="default"/>
      </items>
    </pivotField>
    <pivotField showAll="0"/>
    <pivotField showAll="0"/>
    <pivotField showAll="0"/>
    <pivotField showAll="0"/>
    <pivotField showAll="0">
      <items count="5">
        <item h="1" x="0"/>
        <item x="2"/>
        <item h="1"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8">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99B47-A2BD-416C-A6AF-4C7CA4975D4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D82" firstHeaderRow="1" firstDataRow="2" firstDataCol="1"/>
  <pivotFields count="14">
    <pivotField showAll="0"/>
    <pivotField showAll="0">
      <items count="4">
        <item x="0"/>
        <item x="1"/>
        <item x="2"/>
        <item t="default"/>
      </items>
    </pivotField>
    <pivotField showAll="0"/>
    <pivotField showAll="0"/>
    <pivotField showAll="0"/>
    <pivotField showAll="0">
      <items count="7">
        <item h="1" x="0"/>
        <item h="1" x="4"/>
        <item x="2"/>
        <item h="1" x="1"/>
        <item h="1" x="3"/>
        <item h="1" x="5"/>
        <item t="default"/>
      </items>
    </pivotField>
    <pivotField showAll="0"/>
    <pivotField showAll="0"/>
    <pivotField showAll="0"/>
    <pivotField showAll="0"/>
    <pivotField showAll="0">
      <items count="5">
        <item h="1" x="0"/>
        <item x="2"/>
        <item h="1" x="1"/>
        <item h="1"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items count="4">
        <item x="2"/>
        <item x="0"/>
        <item x="1"/>
        <item t="default"/>
      </items>
    </pivotField>
    <pivotField axis="axisCol" dataField="1" showAll="0">
      <items count="4">
        <item x="0"/>
        <item x="1"/>
        <item x="2"/>
        <item t="default"/>
      </items>
    </pivotField>
  </pivotFields>
  <rowFields count="1">
    <field x="11"/>
  </rowFields>
  <rowItems count="30">
    <i>
      <x/>
    </i>
    <i>
      <x v="1"/>
    </i>
    <i>
      <x v="2"/>
    </i>
    <i>
      <x v="3"/>
    </i>
    <i>
      <x v="4"/>
    </i>
    <i>
      <x v="5"/>
    </i>
    <i>
      <x v="6"/>
    </i>
    <i>
      <x v="7"/>
    </i>
    <i>
      <x v="18"/>
    </i>
    <i>
      <x v="19"/>
    </i>
    <i>
      <x v="20"/>
    </i>
    <i>
      <x v="21"/>
    </i>
    <i>
      <x v="23"/>
    </i>
    <i>
      <x v="24"/>
    </i>
    <i>
      <x v="25"/>
    </i>
    <i>
      <x v="26"/>
    </i>
    <i>
      <x v="27"/>
    </i>
    <i>
      <x v="28"/>
    </i>
    <i>
      <x v="29"/>
    </i>
    <i>
      <x v="30"/>
    </i>
    <i>
      <x v="32"/>
    </i>
    <i>
      <x v="33"/>
    </i>
    <i>
      <x v="34"/>
    </i>
    <i>
      <x v="35"/>
    </i>
    <i>
      <x v="36"/>
    </i>
    <i>
      <x v="37"/>
    </i>
    <i>
      <x v="39"/>
    </i>
    <i>
      <x v="44"/>
    </i>
    <i>
      <x v="50"/>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D859F1-E758-4128-80D2-84AB0063BC8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4:D39" firstHeaderRow="1" firstDataRow="2" firstDataCol="1"/>
  <pivotFields count="14">
    <pivotField showAll="0"/>
    <pivotField showAll="0">
      <items count="4">
        <item x="0"/>
        <item x="1"/>
        <item x="2"/>
        <item t="default"/>
      </items>
    </pivotField>
    <pivotField showAll="0"/>
    <pivotField showAll="0"/>
    <pivotField showAll="0"/>
    <pivotField showAll="0">
      <items count="7">
        <item h="1" x="0"/>
        <item h="1" x="4"/>
        <item x="2"/>
        <item h="1" x="1"/>
        <item h="1" x="3"/>
        <item h="1" x="5"/>
        <item t="default"/>
      </items>
    </pivotField>
    <pivotField showAll="0"/>
    <pivotField showAll="0"/>
    <pivotField showAll="0"/>
    <pivotField showAll="0"/>
    <pivotField showAll="0">
      <items count="5">
        <item h="1" x="0"/>
        <item x="2"/>
        <item h="1" x="1"/>
        <item h="1" x="3"/>
        <item t="default"/>
      </items>
    </pivotField>
    <pivotField showAll="0"/>
    <pivotField axis="axisRow" showAll="0">
      <items count="4">
        <item x="2"/>
        <item x="0"/>
        <item x="1"/>
        <item t="default"/>
      </items>
    </pivotField>
    <pivotField axis="axisCol" dataField="1" showAll="0">
      <items count="4">
        <item x="0"/>
        <item x="1"/>
        <item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 chart="52" format="9" series="1">
      <pivotArea type="data" outline="0" fieldPosition="0">
        <references count="2">
          <reference field="4294967294" count="1" selected="0">
            <x v="0"/>
          </reference>
          <reference field="13" count="1" selected="0">
            <x v="0"/>
          </reference>
        </references>
      </pivotArea>
    </chartFormat>
    <chartFormat chart="52" format="10" series="1">
      <pivotArea type="data" outline="0" fieldPosition="0">
        <references count="2">
          <reference field="4294967294" count="1" selected="0">
            <x v="0"/>
          </reference>
          <reference field="13" count="1" selected="0">
            <x v="1"/>
          </reference>
        </references>
      </pivotArea>
    </chartFormat>
    <chartFormat chart="52"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D8EF6C-8C39-4590-8828-538EBB628EA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D24" firstHeaderRow="1" firstDataRow="2" firstDataCol="1"/>
  <pivotFields count="14">
    <pivotField showAll="0"/>
    <pivotField showAll="0">
      <items count="4">
        <item x="0"/>
        <item x="1"/>
        <item x="2"/>
        <item t="default"/>
      </items>
    </pivotField>
    <pivotField showAll="0"/>
    <pivotField showAll="0"/>
    <pivotField showAll="0"/>
    <pivotField showAll="0">
      <items count="7">
        <item h="1" x="0"/>
        <item h="1" x="4"/>
        <item x="2"/>
        <item h="1" x="1"/>
        <item h="1" x="3"/>
        <item h="1" x="5"/>
        <item t="default"/>
      </items>
    </pivotField>
    <pivotField showAll="0"/>
    <pivotField showAll="0"/>
    <pivotField showAll="0"/>
    <pivotField axis="axisRow" showAll="0">
      <items count="8">
        <item x="0"/>
        <item m="1" x="6"/>
        <item x="3"/>
        <item x="1"/>
        <item x="2"/>
        <item h="1" x="5"/>
        <item x="4"/>
        <item t="default"/>
      </items>
    </pivotField>
    <pivotField showAll="0">
      <items count="5">
        <item h="1" x="0"/>
        <item x="2"/>
        <item h="1" x="1"/>
        <item h="1" x="3"/>
        <item t="default"/>
      </items>
    </pivotField>
    <pivotField showAll="0"/>
    <pivotField showAll="0"/>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95F4C81-65A8-47A6-86C1-381A62902C3A}" sourceName="Marital Status">
  <pivotTables>
    <pivotTable tabId="3" name="PivotTable1"/>
    <pivotTable tabId="3" name="PivotTable2"/>
    <pivotTable tabId="3" name="PivotTable3"/>
    <pivotTable tabId="3" name="PivotTable4"/>
  </pivotTables>
  <data>
    <tabular pivotCacheId="127946377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CDCC682-B199-4CEB-8079-94BD43602CDC}" sourceName="Education">
  <pivotTables>
    <pivotTable tabId="3" name="PivotTable1"/>
    <pivotTable tabId="3" name="PivotTable2"/>
    <pivotTable tabId="3" name="PivotTable3"/>
    <pivotTable tabId="3" name="PivotTable4"/>
  </pivotTables>
  <data>
    <tabular pivotCacheId="1279463777">
      <items count="6">
        <i x="0"/>
        <i x="4"/>
        <i x="2" s="1"/>
        <i x="1"/>
        <i x="3"/>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B4B997-CDE3-4D04-A92A-05C13E72D704}" sourceName="Region">
  <pivotTables>
    <pivotTable tabId="3" name="PivotTable1"/>
    <pivotTable tabId="3" name="PivotTable2"/>
    <pivotTable tabId="3" name="PivotTable3"/>
    <pivotTable tabId="3" name="PivotTable4"/>
  </pivotTables>
  <data>
    <tabular pivotCacheId="1279463777">
      <items count="4">
        <i x="0"/>
        <i x="2" s="1"/>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95185DE-7D8B-4238-BB9A-C42538D3B5D3}" cache="Slicer_Marital_Status" caption="Marital Status" rowHeight="241300"/>
  <slicer name="Education" xr10:uid="{1F6F307B-3608-4D3C-9807-0D1796DD7A6D}" cache="Slicer_Education" caption="Education" rowHeight="241300"/>
  <slicer name="Region" xr10:uid="{D0833F59-BED7-4B85-A74D-EAACB6849095}"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2DF2-9EFB-4B20-A78D-6F88FC4D3491}">
  <dimension ref="A1:N1027"/>
  <sheetViews>
    <sheetView zoomScale="83" workbookViewId="0">
      <selection activeCell="J1" sqref="J1:J1048576"/>
    </sheetView>
  </sheetViews>
  <sheetFormatPr defaultColWidth="11.90625" defaultRowHeight="14.5" x14ac:dyDescent="0.35"/>
  <cols>
    <col min="4" max="4" width="12.08984375" style="3" bestFit="1"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 "Invalid")))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 "Invalid")))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 "Invalid")))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 "Invalid")))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 "Invalid")))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 "Invalid")))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 "Invalid")))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 "Invalid")))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 "Invalid")))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 "Invalid")))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 "Invalid")))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 "Invalid")))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 "Invalid")))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 "Invalid")))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 "Invalid")))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 "Invalid")))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26" si="15">IF(L963&gt;54,"Old",IF(L963&gt;=31,"Middle Age",IF(L963&lt;31,"Adolescent", "Invalid")))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row r="1002" spans="1:14" x14ac:dyDescent="0.35">
      <c r="M1002" t="str">
        <f t="shared" si="15"/>
        <v>Adolescent</v>
      </c>
    </row>
    <row r="1003" spans="1:14" x14ac:dyDescent="0.35">
      <c r="M1003" t="str">
        <f t="shared" si="15"/>
        <v>Adolescent</v>
      </c>
    </row>
    <row r="1004" spans="1:14" x14ac:dyDescent="0.35">
      <c r="M1004" t="str">
        <f t="shared" si="15"/>
        <v>Adolescent</v>
      </c>
    </row>
    <row r="1005" spans="1:14" x14ac:dyDescent="0.35">
      <c r="M1005" t="str">
        <f t="shared" si="15"/>
        <v>Adolescent</v>
      </c>
    </row>
    <row r="1006" spans="1:14" x14ac:dyDescent="0.35">
      <c r="M1006" t="str">
        <f t="shared" si="15"/>
        <v>Adolescent</v>
      </c>
    </row>
    <row r="1007" spans="1:14" x14ac:dyDescent="0.35">
      <c r="M1007" t="str">
        <f t="shared" si="15"/>
        <v>Adolescent</v>
      </c>
    </row>
    <row r="1008" spans="1:14" x14ac:dyDescent="0.35">
      <c r="M1008" t="str">
        <f t="shared" si="15"/>
        <v>Adolescent</v>
      </c>
    </row>
    <row r="1009" spans="13:13" x14ac:dyDescent="0.35">
      <c r="M1009" t="str">
        <f t="shared" si="15"/>
        <v>Adolescent</v>
      </c>
    </row>
    <row r="1010" spans="13:13" x14ac:dyDescent="0.35">
      <c r="M1010" t="str">
        <f t="shared" si="15"/>
        <v>Adolescent</v>
      </c>
    </row>
    <row r="1011" spans="13:13" x14ac:dyDescent="0.35">
      <c r="M1011" t="str">
        <f t="shared" si="15"/>
        <v>Adolescent</v>
      </c>
    </row>
    <row r="1012" spans="13:13" x14ac:dyDescent="0.35">
      <c r="M1012" t="str">
        <f t="shared" si="15"/>
        <v>Adolescent</v>
      </c>
    </row>
    <row r="1013" spans="13:13" x14ac:dyDescent="0.35">
      <c r="M1013" t="str">
        <f t="shared" si="15"/>
        <v>Adolescent</v>
      </c>
    </row>
    <row r="1014" spans="13:13" x14ac:dyDescent="0.35">
      <c r="M1014" t="str">
        <f t="shared" si="15"/>
        <v>Adolescent</v>
      </c>
    </row>
    <row r="1015" spans="13:13" x14ac:dyDescent="0.35">
      <c r="M1015" t="str">
        <f t="shared" si="15"/>
        <v>Adolescent</v>
      </c>
    </row>
    <row r="1016" spans="13:13" x14ac:dyDescent="0.35">
      <c r="M1016" t="str">
        <f t="shared" si="15"/>
        <v>Adolescent</v>
      </c>
    </row>
    <row r="1017" spans="13:13" x14ac:dyDescent="0.35">
      <c r="M1017" t="str">
        <f t="shared" si="15"/>
        <v>Adolescent</v>
      </c>
    </row>
    <row r="1018" spans="13:13" x14ac:dyDescent="0.35">
      <c r="M1018" t="str">
        <f t="shared" si="15"/>
        <v>Adolescent</v>
      </c>
    </row>
    <row r="1019" spans="13:13" x14ac:dyDescent="0.35">
      <c r="M1019" t="str">
        <f t="shared" si="15"/>
        <v>Adolescent</v>
      </c>
    </row>
    <row r="1020" spans="13:13" x14ac:dyDescent="0.35">
      <c r="M1020" t="str">
        <f t="shared" si="15"/>
        <v>Adolescent</v>
      </c>
    </row>
    <row r="1021" spans="13:13" x14ac:dyDescent="0.35">
      <c r="M1021" t="str">
        <f t="shared" si="15"/>
        <v>Adolescent</v>
      </c>
    </row>
    <row r="1022" spans="13:13" x14ac:dyDescent="0.35">
      <c r="M1022" t="str">
        <f t="shared" si="15"/>
        <v>Adolescent</v>
      </c>
    </row>
    <row r="1023" spans="13:13" x14ac:dyDescent="0.35">
      <c r="M1023" t="str">
        <f t="shared" si="15"/>
        <v>Adolescent</v>
      </c>
    </row>
    <row r="1024" spans="13:13" x14ac:dyDescent="0.35">
      <c r="M1024" t="str">
        <f t="shared" si="15"/>
        <v>Adolescent</v>
      </c>
    </row>
    <row r="1025" spans="13:13" x14ac:dyDescent="0.35">
      <c r="M1025" t="str">
        <f t="shared" si="15"/>
        <v>Adolescent</v>
      </c>
    </row>
    <row r="1026" spans="13:13" x14ac:dyDescent="0.35">
      <c r="M1026" t="str">
        <f t="shared" si="15"/>
        <v>Adolescent</v>
      </c>
    </row>
    <row r="1027" spans="13:13" x14ac:dyDescent="0.35">
      <c r="M1027" t="str">
        <f t="shared" ref="M1027" si="16">IF(L1027&gt;54,"Old",IF(L1027&gt;=31,"Middle Age",IF(L1027&lt;31,"Adolescent", "Invalid")))</f>
        <v>Adolescent</v>
      </c>
    </row>
  </sheetData>
  <autoFilter ref="A1:N1027" xr:uid="{EDB12DF2-9EFB-4B20-A78D-6F88FC4D34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5010F-0604-4DEA-86B0-656DD47F7474}">
  <dimension ref="A3:D82"/>
  <sheetViews>
    <sheetView zoomScale="62" workbookViewId="0">
      <selection activeCell="N18" sqref="N18"/>
    </sheetView>
  </sheetViews>
  <sheetFormatPr defaultRowHeight="14.5" x14ac:dyDescent="0.35"/>
  <cols>
    <col min="1" max="1" width="22.54296875" bestFit="1" customWidth="1"/>
    <col min="2" max="2" width="17.26953125" bestFit="1" customWidth="1"/>
    <col min="3" max="3" width="3.90625" bestFit="1" customWidth="1"/>
    <col min="4" max="5" width="11.26953125" bestFit="1" customWidth="1"/>
  </cols>
  <sheetData>
    <row r="3" spans="1:4" x14ac:dyDescent="0.35">
      <c r="A3" s="4" t="s">
        <v>43</v>
      </c>
      <c r="B3" s="4" t="s">
        <v>44</v>
      </c>
    </row>
    <row r="4" spans="1:4" x14ac:dyDescent="0.35">
      <c r="A4" s="4" t="s">
        <v>41</v>
      </c>
      <c r="B4" t="s">
        <v>18</v>
      </c>
      <c r="C4" t="s">
        <v>15</v>
      </c>
      <c r="D4" t="s">
        <v>42</v>
      </c>
    </row>
    <row r="5" spans="1:4" x14ac:dyDescent="0.35">
      <c r="A5" s="5" t="s">
        <v>39</v>
      </c>
      <c r="B5" s="6">
        <v>43600</v>
      </c>
      <c r="C5" s="6">
        <v>46363.63636363636</v>
      </c>
      <c r="D5" s="6">
        <v>44444.444444444445</v>
      </c>
    </row>
    <row r="6" spans="1:4" x14ac:dyDescent="0.35">
      <c r="A6" s="5" t="s">
        <v>38</v>
      </c>
      <c r="B6" s="6">
        <v>43714.285714285717</v>
      </c>
      <c r="C6" s="6">
        <v>49629.629629629628</v>
      </c>
      <c r="D6" s="6">
        <v>46290.322580645159</v>
      </c>
    </row>
    <row r="7" spans="1:4" x14ac:dyDescent="0.35">
      <c r="A7" s="5" t="s">
        <v>42</v>
      </c>
      <c r="B7" s="6">
        <v>43666.666666666664</v>
      </c>
      <c r="C7" s="6">
        <v>48684.210526315786</v>
      </c>
      <c r="D7" s="6">
        <v>45612.244897959186</v>
      </c>
    </row>
    <row r="17" spans="1:4" x14ac:dyDescent="0.35">
      <c r="A17" s="4" t="s">
        <v>45</v>
      </c>
      <c r="B17" s="4" t="s">
        <v>44</v>
      </c>
    </row>
    <row r="18" spans="1:4" x14ac:dyDescent="0.35">
      <c r="A18" s="4" t="s">
        <v>41</v>
      </c>
      <c r="B18" t="s">
        <v>18</v>
      </c>
      <c r="C18" t="s">
        <v>15</v>
      </c>
      <c r="D18" t="s">
        <v>42</v>
      </c>
    </row>
    <row r="19" spans="1:4" x14ac:dyDescent="0.35">
      <c r="A19" s="5" t="s">
        <v>16</v>
      </c>
      <c r="B19" s="10">
        <v>3</v>
      </c>
      <c r="C19" s="10">
        <v>6</v>
      </c>
      <c r="D19" s="10">
        <v>9</v>
      </c>
    </row>
    <row r="20" spans="1:4" x14ac:dyDescent="0.35">
      <c r="A20" s="5" t="s">
        <v>26</v>
      </c>
      <c r="B20" s="10">
        <v>10</v>
      </c>
      <c r="C20" s="10">
        <v>12</v>
      </c>
      <c r="D20" s="10">
        <v>22</v>
      </c>
    </row>
    <row r="21" spans="1:4" x14ac:dyDescent="0.35">
      <c r="A21" s="5" t="s">
        <v>22</v>
      </c>
      <c r="B21" s="10">
        <v>8</v>
      </c>
      <c r="C21" s="10">
        <v>6</v>
      </c>
      <c r="D21" s="10">
        <v>14</v>
      </c>
    </row>
    <row r="22" spans="1:4" x14ac:dyDescent="0.35">
      <c r="A22" s="5" t="s">
        <v>23</v>
      </c>
      <c r="B22" s="10">
        <v>31</v>
      </c>
      <c r="C22" s="10">
        <v>8</v>
      </c>
      <c r="D22" s="10">
        <v>39</v>
      </c>
    </row>
    <row r="23" spans="1:4" x14ac:dyDescent="0.35">
      <c r="A23" s="5" t="s">
        <v>46</v>
      </c>
      <c r="B23" s="10">
        <v>8</v>
      </c>
      <c r="C23" s="10">
        <v>6</v>
      </c>
      <c r="D23" s="10">
        <v>14</v>
      </c>
    </row>
    <row r="24" spans="1:4" x14ac:dyDescent="0.35">
      <c r="A24" s="5" t="s">
        <v>42</v>
      </c>
      <c r="B24" s="10">
        <v>60</v>
      </c>
      <c r="C24" s="10">
        <v>38</v>
      </c>
      <c r="D24" s="10">
        <v>98</v>
      </c>
    </row>
    <row r="34" spans="1:4" x14ac:dyDescent="0.35">
      <c r="A34" s="4" t="s">
        <v>45</v>
      </c>
      <c r="B34" s="4" t="s">
        <v>44</v>
      </c>
    </row>
    <row r="35" spans="1:4" x14ac:dyDescent="0.35">
      <c r="A35" s="4" t="s">
        <v>41</v>
      </c>
      <c r="B35" t="s">
        <v>18</v>
      </c>
      <c r="C35" t="s">
        <v>15</v>
      </c>
      <c r="D35" t="s">
        <v>42</v>
      </c>
    </row>
    <row r="36" spans="1:4" x14ac:dyDescent="0.35">
      <c r="A36" s="5" t="s">
        <v>47</v>
      </c>
      <c r="B36" s="10">
        <v>15</v>
      </c>
      <c r="C36" s="10">
        <v>8</v>
      </c>
      <c r="D36" s="10">
        <v>23</v>
      </c>
    </row>
    <row r="37" spans="1:4" x14ac:dyDescent="0.35">
      <c r="A37" s="5" t="s">
        <v>48</v>
      </c>
      <c r="B37" s="10">
        <v>34</v>
      </c>
      <c r="C37" s="10">
        <v>23</v>
      </c>
      <c r="D37" s="10">
        <v>57</v>
      </c>
    </row>
    <row r="38" spans="1:4" x14ac:dyDescent="0.35">
      <c r="A38" s="5" t="s">
        <v>49</v>
      </c>
      <c r="B38" s="10">
        <v>11</v>
      </c>
      <c r="C38" s="10">
        <v>7</v>
      </c>
      <c r="D38" s="10">
        <v>18</v>
      </c>
    </row>
    <row r="39" spans="1:4" x14ac:dyDescent="0.35">
      <c r="A39" s="5" t="s">
        <v>42</v>
      </c>
      <c r="B39" s="10">
        <v>60</v>
      </c>
      <c r="C39" s="10">
        <v>38</v>
      </c>
      <c r="D39" s="10">
        <v>98</v>
      </c>
    </row>
    <row r="51" spans="1:4" x14ac:dyDescent="0.35">
      <c r="A51" s="4" t="s">
        <v>45</v>
      </c>
      <c r="B51" s="4" t="s">
        <v>44</v>
      </c>
    </row>
    <row r="52" spans="1:4" x14ac:dyDescent="0.35">
      <c r="A52" s="4" t="s">
        <v>41</v>
      </c>
      <c r="B52" t="s">
        <v>18</v>
      </c>
      <c r="C52" t="s">
        <v>15</v>
      </c>
      <c r="D52" t="s">
        <v>42</v>
      </c>
    </row>
    <row r="53" spans="1:4" x14ac:dyDescent="0.35">
      <c r="A53" s="5">
        <v>25</v>
      </c>
      <c r="B53" s="10"/>
      <c r="C53" s="10">
        <v>1</v>
      </c>
      <c r="D53" s="10">
        <v>1</v>
      </c>
    </row>
    <row r="54" spans="1:4" x14ac:dyDescent="0.35">
      <c r="A54" s="5">
        <v>26</v>
      </c>
      <c r="B54" s="10">
        <v>3</v>
      </c>
      <c r="C54" s="10"/>
      <c r="D54" s="10">
        <v>3</v>
      </c>
    </row>
    <row r="55" spans="1:4" x14ac:dyDescent="0.35">
      <c r="A55" s="5">
        <v>27</v>
      </c>
      <c r="B55" s="10">
        <v>4</v>
      </c>
      <c r="C55" s="10">
        <v>2</v>
      </c>
      <c r="D55" s="10">
        <v>6</v>
      </c>
    </row>
    <row r="56" spans="1:4" x14ac:dyDescent="0.35">
      <c r="A56" s="5">
        <v>28</v>
      </c>
      <c r="B56" s="10"/>
      <c r="C56" s="10">
        <v>5</v>
      </c>
      <c r="D56" s="10">
        <v>5</v>
      </c>
    </row>
    <row r="57" spans="1:4" x14ac:dyDescent="0.35">
      <c r="A57" s="5">
        <v>29</v>
      </c>
      <c r="B57" s="10">
        <v>1</v>
      </c>
      <c r="C57" s="10"/>
      <c r="D57" s="10">
        <v>1</v>
      </c>
    </row>
    <row r="58" spans="1:4" x14ac:dyDescent="0.35">
      <c r="A58" s="5">
        <v>30</v>
      </c>
      <c r="B58" s="10">
        <v>7</v>
      </c>
      <c r="C58" s="10"/>
      <c r="D58" s="10">
        <v>7</v>
      </c>
    </row>
    <row r="59" spans="1:4" x14ac:dyDescent="0.35">
      <c r="A59" s="5">
        <v>31</v>
      </c>
      <c r="B59" s="10">
        <v>6</v>
      </c>
      <c r="C59" s="10">
        <v>3</v>
      </c>
      <c r="D59" s="10">
        <v>9</v>
      </c>
    </row>
    <row r="60" spans="1:4" x14ac:dyDescent="0.35">
      <c r="A60" s="5">
        <v>32</v>
      </c>
      <c r="B60" s="10">
        <v>1</v>
      </c>
      <c r="C60" s="10">
        <v>1</v>
      </c>
      <c r="D60" s="10">
        <v>2</v>
      </c>
    </row>
    <row r="61" spans="1:4" x14ac:dyDescent="0.35">
      <c r="A61" s="5">
        <v>43</v>
      </c>
      <c r="B61" s="10">
        <v>1</v>
      </c>
      <c r="C61" s="10"/>
      <c r="D61" s="10">
        <v>1</v>
      </c>
    </row>
    <row r="62" spans="1:4" x14ac:dyDescent="0.35">
      <c r="A62" s="5">
        <v>44</v>
      </c>
      <c r="B62" s="10"/>
      <c r="C62" s="10">
        <v>2</v>
      </c>
      <c r="D62" s="10">
        <v>2</v>
      </c>
    </row>
    <row r="63" spans="1:4" x14ac:dyDescent="0.35">
      <c r="A63" s="5">
        <v>45</v>
      </c>
      <c r="B63" s="10">
        <v>2</v>
      </c>
      <c r="C63" s="10">
        <v>1</v>
      </c>
      <c r="D63" s="10">
        <v>3</v>
      </c>
    </row>
    <row r="64" spans="1:4" x14ac:dyDescent="0.35">
      <c r="A64" s="5">
        <v>46</v>
      </c>
      <c r="B64" s="10">
        <v>1</v>
      </c>
      <c r="C64" s="10">
        <v>1</v>
      </c>
      <c r="D64" s="10">
        <v>2</v>
      </c>
    </row>
    <row r="65" spans="1:4" x14ac:dyDescent="0.35">
      <c r="A65" s="5">
        <v>48</v>
      </c>
      <c r="B65" s="10">
        <v>2</v>
      </c>
      <c r="C65" s="10">
        <v>2</v>
      </c>
      <c r="D65" s="10">
        <v>4</v>
      </c>
    </row>
    <row r="66" spans="1:4" x14ac:dyDescent="0.35">
      <c r="A66" s="5">
        <v>49</v>
      </c>
      <c r="B66" s="10">
        <v>5</v>
      </c>
      <c r="C66" s="10">
        <v>1</v>
      </c>
      <c r="D66" s="10">
        <v>6</v>
      </c>
    </row>
    <row r="67" spans="1:4" x14ac:dyDescent="0.35">
      <c r="A67" s="5">
        <v>50</v>
      </c>
      <c r="B67" s="10">
        <v>4</v>
      </c>
      <c r="C67" s="10">
        <v>2</v>
      </c>
      <c r="D67" s="10">
        <v>6</v>
      </c>
    </row>
    <row r="68" spans="1:4" x14ac:dyDescent="0.35">
      <c r="A68" s="5">
        <v>51</v>
      </c>
      <c r="B68" s="10">
        <v>5</v>
      </c>
      <c r="C68" s="10">
        <v>2</v>
      </c>
      <c r="D68" s="10">
        <v>7</v>
      </c>
    </row>
    <row r="69" spans="1:4" x14ac:dyDescent="0.35">
      <c r="A69" s="5">
        <v>52</v>
      </c>
      <c r="B69" s="10">
        <v>2</v>
      </c>
      <c r="C69" s="10">
        <v>3</v>
      </c>
      <c r="D69" s="10">
        <v>5</v>
      </c>
    </row>
    <row r="70" spans="1:4" x14ac:dyDescent="0.35">
      <c r="A70" s="5">
        <v>53</v>
      </c>
      <c r="B70" s="10">
        <v>5</v>
      </c>
      <c r="C70" s="10">
        <v>3</v>
      </c>
      <c r="D70" s="10">
        <v>8</v>
      </c>
    </row>
    <row r="71" spans="1:4" x14ac:dyDescent="0.35">
      <c r="A71" s="5">
        <v>54</v>
      </c>
      <c r="B71" s="10"/>
      <c r="C71" s="10">
        <v>2</v>
      </c>
      <c r="D71" s="10">
        <v>2</v>
      </c>
    </row>
    <row r="72" spans="1:4" x14ac:dyDescent="0.35">
      <c r="A72" s="5">
        <v>55</v>
      </c>
      <c r="B72" s="10">
        <v>2</v>
      </c>
      <c r="C72" s="10">
        <v>1</v>
      </c>
      <c r="D72" s="10">
        <v>3</v>
      </c>
    </row>
    <row r="73" spans="1:4" x14ac:dyDescent="0.35">
      <c r="A73" s="5">
        <v>57</v>
      </c>
      <c r="B73" s="10">
        <v>1</v>
      </c>
      <c r="C73" s="10"/>
      <c r="D73" s="10">
        <v>1</v>
      </c>
    </row>
    <row r="74" spans="1:4" x14ac:dyDescent="0.35">
      <c r="A74" s="5">
        <v>58</v>
      </c>
      <c r="B74" s="10"/>
      <c r="C74" s="10">
        <v>1</v>
      </c>
      <c r="D74" s="10">
        <v>1</v>
      </c>
    </row>
    <row r="75" spans="1:4" x14ac:dyDescent="0.35">
      <c r="A75" s="5">
        <v>59</v>
      </c>
      <c r="B75" s="10">
        <v>1</v>
      </c>
      <c r="C75" s="10">
        <v>1</v>
      </c>
      <c r="D75" s="10">
        <v>2</v>
      </c>
    </row>
    <row r="76" spans="1:4" x14ac:dyDescent="0.35">
      <c r="A76" s="5">
        <v>60</v>
      </c>
      <c r="B76" s="10">
        <v>2</v>
      </c>
      <c r="C76" s="10">
        <v>2</v>
      </c>
      <c r="D76" s="10">
        <v>4</v>
      </c>
    </row>
    <row r="77" spans="1:4" x14ac:dyDescent="0.35">
      <c r="A77" s="5">
        <v>61</v>
      </c>
      <c r="B77" s="10">
        <v>2</v>
      </c>
      <c r="C77" s="10">
        <v>1</v>
      </c>
      <c r="D77" s="10">
        <v>3</v>
      </c>
    </row>
    <row r="78" spans="1:4" x14ac:dyDescent="0.35">
      <c r="A78" s="5">
        <v>62</v>
      </c>
      <c r="B78" s="10"/>
      <c r="C78" s="10">
        <v>1</v>
      </c>
      <c r="D78" s="10">
        <v>1</v>
      </c>
    </row>
    <row r="79" spans="1:4" x14ac:dyDescent="0.35">
      <c r="A79" s="5">
        <v>64</v>
      </c>
      <c r="B79" s="10">
        <v>1</v>
      </c>
      <c r="C79" s="10"/>
      <c r="D79" s="10">
        <v>1</v>
      </c>
    </row>
    <row r="80" spans="1:4" x14ac:dyDescent="0.35">
      <c r="A80" s="5">
        <v>69</v>
      </c>
      <c r="B80" s="10">
        <v>1</v>
      </c>
      <c r="C80" s="10"/>
      <c r="D80" s="10">
        <v>1</v>
      </c>
    </row>
    <row r="81" spans="1:4" x14ac:dyDescent="0.35">
      <c r="A81" s="5">
        <v>78</v>
      </c>
      <c r="B81" s="10">
        <v>1</v>
      </c>
      <c r="C81" s="10"/>
      <c r="D81" s="10">
        <v>1</v>
      </c>
    </row>
    <row r="82" spans="1:4" x14ac:dyDescent="0.35">
      <c r="A82" s="5" t="s">
        <v>42</v>
      </c>
      <c r="B82" s="10">
        <v>60</v>
      </c>
      <c r="C82" s="10">
        <v>38</v>
      </c>
      <c r="D82" s="10">
        <v>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744A-A80A-4D45-8AF7-0AB28110FE8B}">
  <dimension ref="A1:J11"/>
  <sheetViews>
    <sheetView showGridLines="0" tabSelected="1" topLeftCell="A2" zoomScale="56" zoomScaleNormal="52" workbookViewId="0">
      <selection activeCell="W28" sqref="W28"/>
    </sheetView>
  </sheetViews>
  <sheetFormatPr defaultRowHeight="14.5" x14ac:dyDescent="0.35"/>
  <sheetData>
    <row r="1" spans="1:10" x14ac:dyDescent="0.35">
      <c r="A1" s="8" t="s">
        <v>50</v>
      </c>
      <c r="B1" s="9"/>
      <c r="C1" s="9"/>
      <c r="D1" s="9"/>
      <c r="E1" s="9"/>
      <c r="F1" s="9"/>
      <c r="G1" s="9"/>
      <c r="H1" s="9"/>
      <c r="I1" s="9"/>
      <c r="J1" s="9"/>
    </row>
    <row r="2" spans="1:10" x14ac:dyDescent="0.35">
      <c r="A2" s="9"/>
      <c r="B2" s="9"/>
      <c r="C2" s="9"/>
      <c r="D2" s="9"/>
      <c r="E2" s="9"/>
      <c r="F2" s="9"/>
      <c r="G2" s="9"/>
      <c r="H2" s="9"/>
      <c r="I2" s="9"/>
      <c r="J2" s="9"/>
    </row>
    <row r="3" spans="1:10" x14ac:dyDescent="0.35">
      <c r="A3" s="9"/>
      <c r="B3" s="9"/>
      <c r="C3" s="9"/>
      <c r="D3" s="9"/>
      <c r="E3" s="9"/>
      <c r="F3" s="9"/>
      <c r="G3" s="9"/>
      <c r="H3" s="9"/>
      <c r="I3" s="9"/>
      <c r="J3" s="9"/>
    </row>
    <row r="4" spans="1:10" x14ac:dyDescent="0.35">
      <c r="A4" s="9"/>
      <c r="B4" s="9"/>
      <c r="C4" s="9"/>
      <c r="D4" s="9"/>
      <c r="E4" s="9"/>
      <c r="F4" s="9"/>
      <c r="G4" s="9"/>
      <c r="H4" s="9"/>
      <c r="I4" s="9"/>
      <c r="J4" s="9"/>
    </row>
    <row r="5" spans="1:10" x14ac:dyDescent="0.35">
      <c r="A5" s="9"/>
      <c r="B5" s="9"/>
      <c r="C5" s="9"/>
      <c r="D5" s="9"/>
      <c r="E5" s="9"/>
      <c r="F5" s="9"/>
      <c r="G5" s="9"/>
      <c r="H5" s="9"/>
      <c r="I5" s="9"/>
      <c r="J5" s="9"/>
    </row>
    <row r="6" spans="1:10" x14ac:dyDescent="0.35">
      <c r="A6" s="9"/>
      <c r="B6" s="9"/>
      <c r="C6" s="9"/>
      <c r="D6" s="9"/>
      <c r="E6" s="9"/>
      <c r="F6" s="9"/>
      <c r="G6" s="9"/>
      <c r="H6" s="9"/>
      <c r="I6" s="9"/>
      <c r="J6" s="9"/>
    </row>
    <row r="11" spans="1:10" x14ac:dyDescent="0.35">
      <c r="J11" s="7"/>
    </row>
  </sheetData>
  <mergeCells count="1">
    <mergeCell ref="A1: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oguamahkingsley@gmail.com</cp:lastModifiedBy>
  <dcterms:created xsi:type="dcterms:W3CDTF">2022-03-18T02:50:57Z</dcterms:created>
  <dcterms:modified xsi:type="dcterms:W3CDTF">2025-11-28T14:03:38Z</dcterms:modified>
</cp:coreProperties>
</file>